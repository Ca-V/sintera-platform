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Entrevistas" sheetId="2" state="visible" r:id="rId2"/>
    <sheet xmlns:r="http://schemas.openxmlformats.org/officeDocument/2006/relationships" name="Consolid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808080"/>
      <sz val="10"/>
    </font>
    <font>
      <name val="Arial"/>
      <b val="1"/>
      <sz val="10"/>
    </font>
    <font>
      <name val="Arial"/>
      <sz val="10"/>
    </font>
    <font>
      <name val="Arial"/>
      <b val="1"/>
      <color rgb="002F5496"/>
      <sz val="11"/>
    </font>
    <font>
      <name val="Arial"/>
      <b val="1"/>
      <color rgb="00FFFFFF"/>
      <sz val="10"/>
    </font>
    <font>
      <name val="Arial"/>
      <b val="1"/>
      <color rgb="002F5496"/>
      <sz val="1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7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92" customWidth="1" min="2" max="2"/>
  </cols>
  <sheetData>
    <row r="1">
      <c r="A1" s="1" t="inlineStr">
        <is>
          <t>SINTERA — Wedge Validation · Planilha de Captura de Evidências</t>
        </is>
      </c>
    </row>
    <row r="2">
      <c r="A2" s="2" t="inlineStr">
        <is>
          <t>Instrumento de DESCOBERTA (não é backlog nem requisito). Uma linha por entrevista em 'Entrevistas'; 'Consolidação' resume por wedge.</t>
        </is>
      </c>
    </row>
    <row r="4">
      <c r="A4" s="3" t="inlineStr"/>
      <c r="B4" s="4" t="inlineStr"/>
    </row>
    <row r="5">
      <c r="A5" s="5" t="inlineStr">
        <is>
          <t>REGRAS DE OURO</t>
        </is>
      </c>
    </row>
    <row r="6">
      <c r="A6" s="3" t="inlineStr">
        <is>
          <t>1. Problem-first.</t>
        </is>
      </c>
      <c r="B6" s="4" t="inlineStr">
        <is>
          <t>Não apresentar a SINTERA até o Bloco 6. Nunca perguntar 'você usaria/gostaria/compraria'.</t>
        </is>
      </c>
    </row>
    <row r="7">
      <c r="A7" s="3" t="inlineStr">
        <is>
          <t>2. Evidência = comportamento</t>
        </is>
      </c>
      <c r="B7" s="4" t="inlineStr">
        <is>
          <t>o que já fazem, gastam, compraram — não opinião sobre o futuro.</t>
        </is>
      </c>
    </row>
    <row r="8">
      <c r="A8" s="3" t="inlineStr">
        <is>
          <t>3. Evidência DECLARATÓRIA × COMPORTAMENTAL</t>
        </is>
      </c>
      <c r="B8" s="4" t="inlineStr">
        <is>
          <t>'seria interessante' (declaratória, peso baixo) vs 'quero envolver o decisor / avaliar piloto / receber proposta / temos orçamento / vamos fornecer dados' (comportamental, peso MUITO maior). Classifique pelo comportamento.</t>
        </is>
      </c>
    </row>
    <row r="9">
      <c r="A9" s="3" t="inlineStr">
        <is>
          <t>4. Registrar a EVIDÊNCIA CONCRETA</t>
        </is>
      </c>
      <c r="B9" s="4" t="inlineStr">
        <is>
          <t>na coluna 'Evidência / citação' — a citação/observação que SUSTENTA a classificação. Sem isso, a nota não vale.</t>
        </is>
      </c>
    </row>
    <row r="10">
      <c r="A10" s="3" t="inlineStr">
        <is>
          <t>5. Evidência NEGATIVA com o mesmo rigor</t>
        </is>
      </c>
      <c r="B10" s="4" t="inlineStr">
        <is>
          <t>registrar os 'não' tão cuidadosamente quanto os 'sim'. NÃO ajustar para inflar a taxa de validação.</t>
        </is>
      </c>
    </row>
    <row r="11">
      <c r="A11" s="3" t="inlineStr">
        <is>
          <t>6. Testar o substituto</t>
        </is>
      </c>
      <c r="B11" s="4" t="inlineStr">
        <is>
          <t>EHR/HIS · build interno · interop vendor · RNDS/OpenCare · IA · combinação. E a killer question competitiva (Bloco 6).</t>
        </is>
      </c>
    </row>
    <row r="12">
      <c r="A12" s="3" t="inlineStr"/>
      <c r="B12" s="4" t="inlineStr"/>
    </row>
    <row r="13">
      <c r="A13" s="5" t="inlineStr">
        <is>
          <t>CLASSIFICAÇÃO DE SINAL — com exemplo de evidência concreta</t>
        </is>
      </c>
    </row>
    <row r="14">
      <c r="A14" s="3" t="inlineStr">
        <is>
          <t>FRACO (declaratório)</t>
        </is>
      </c>
      <c r="B14" s="4" t="inlineStr">
        <is>
          <t>'Achei interessante.' → DESCARTAR (não é evidência).</t>
        </is>
      </c>
    </row>
    <row r="15">
      <c r="A15" s="3" t="inlineStr">
        <is>
          <t>INTERMEDIÁRIO</t>
        </is>
      </c>
      <c r="B15" s="4" t="inlineStr">
        <is>
          <t>'Temos esse problema e estamos procurando alternativas.' (+ número / orçamento potencial / indica outros decisores).</t>
        </is>
      </c>
    </row>
    <row r="16">
      <c r="A16" s="3" t="inlineStr">
        <is>
          <t>FORTE (comportamental)</t>
        </is>
      </c>
      <c r="B16" s="4" t="inlineStr">
        <is>
          <t>'Quero envolver o diretor e avaliar um piloto.' (comprador identificado · solução atual insuficiente · topa fornecer dados).</t>
        </is>
      </c>
    </row>
    <row r="17">
      <c r="A17" s="3" t="inlineStr">
        <is>
          <t>MUITO FORTE (comportamento + dinheiro)</t>
        </is>
      </c>
      <c r="B17" s="4" t="inlineStr">
        <is>
          <t>'Existe orçamento; envie proposta/piloto' / 'quanto custa?' — o sinal mais próximo de compra real.</t>
        </is>
      </c>
    </row>
    <row r="18">
      <c r="A18" s="3" t="inlineStr"/>
      <c r="B18" s="4" t="inlineStr"/>
    </row>
    <row r="19">
      <c r="A19" s="5" t="inlineStr">
        <is>
          <t>VEREDITO</t>
        </is>
      </c>
    </row>
    <row r="20">
      <c r="A20" s="3" t="inlineStr">
        <is>
          <t>Avança</t>
        </is>
      </c>
      <c r="B20" s="4" t="inlineStr">
        <is>
          <t>sinal forte/muito forte + próximo passo concreto agendado.</t>
        </is>
      </c>
    </row>
    <row r="21">
      <c r="A21" s="3" t="inlineStr">
        <is>
          <t>Retém</t>
        </is>
      </c>
      <c r="B21" s="4" t="inlineStr">
        <is>
          <t>problema/interesse sem prova econômica OU acesso OU disposição → novo teste.</t>
        </is>
      </c>
    </row>
    <row r="22">
      <c r="A22" s="3" t="inlineStr">
        <is>
          <t>Rejeita</t>
        </is>
      </c>
      <c r="B22" s="4" t="inlineStr">
        <is>
          <t>predomínio de F1–F8 ou só sinais fracos.</t>
        </is>
      </c>
    </row>
    <row r="23">
      <c r="A23" s="3" t="inlineStr"/>
      <c r="B23" s="4" t="inlineStr"/>
    </row>
    <row r="24">
      <c r="A24" s="5" t="inlineStr">
        <is>
          <t>PERGUNTA OBRIGATÓRIA — 'Por que ainda não resolveram?' (coluna 'Por que não resolveram (A-F)')</t>
        </is>
      </c>
    </row>
    <row r="25">
      <c r="A25" s="3" t="inlineStr">
        <is>
          <t>A</t>
        </is>
      </c>
      <c r="B25" s="4" t="inlineStr">
        <is>
          <t>não existe tecnologia adequada.</t>
        </is>
      </c>
    </row>
    <row r="26">
      <c r="A26" s="3" t="inlineStr">
        <is>
          <t>B</t>
        </is>
      </c>
      <c r="B26" s="4" t="inlineStr">
        <is>
          <t>ninguém integra as partes necessárias.</t>
        </is>
      </c>
    </row>
    <row r="27">
      <c r="A27" s="3" t="inlineStr">
        <is>
          <t>C</t>
        </is>
      </c>
      <c r="B27" s="4" t="inlineStr">
        <is>
          <t>o fornecedor atual deveria resolver, mas não resolve.</t>
        </is>
      </c>
    </row>
    <row r="28">
      <c r="A28" s="3" t="inlineStr">
        <is>
          <t>D</t>
        </is>
      </c>
      <c r="B28" s="4" t="inlineStr">
        <is>
          <t>não vale o custo.</t>
        </is>
      </c>
    </row>
    <row r="29">
      <c r="A29" s="3" t="inlineStr">
        <is>
          <t>E</t>
        </is>
      </c>
      <c r="B29" s="4" t="inlineStr">
        <is>
          <t>na realidade não é um problema suficientemente importante.</t>
        </is>
      </c>
    </row>
    <row r="30">
      <c r="A30" s="3" t="inlineStr">
        <is>
          <t>F</t>
        </is>
      </c>
      <c r="B30" s="4" t="inlineStr">
        <is>
          <t>estamos construindo internamente.</t>
        </is>
      </c>
    </row>
    <row r="31">
      <c r="A31" s="3" t="inlineStr">
        <is>
          <t>Interpretação</t>
        </is>
      </c>
      <c r="B31" s="4" t="inlineStr">
        <is>
          <t>NÃO tratar C como validação nem F como rejeição automaticamente — registrar e analisar no contexto.</t>
        </is>
      </c>
    </row>
    <row r="32">
      <c r="A32" s="3" t="inlineStr"/>
      <c r="B32" s="4" t="inlineStr"/>
    </row>
    <row r="33">
      <c r="A33" s="5" t="inlineStr">
        <is>
          <t>RAZÕES DE REJEIÇÃO — F1..F8 (colunas próprias: Conf/Refut/—)</t>
        </is>
      </c>
    </row>
    <row r="34">
      <c r="A34" s="3" t="inlineStr">
        <is>
          <t>F1 já resolvemos · F2 paciente não valoriza · F3 sem acesso ao dado · F4 sem orçamento</t>
        </is>
      </c>
      <c r="B34" s="4" t="inlineStr">
        <is>
          <t>F5 ROI insuficiente · F6 LGPD/regulação impede · F7 EHR/HIS já faz / fácil construir · F8 não queremos outra camada.</t>
        </is>
      </c>
    </row>
    <row r="35">
      <c r="A35" s="3" t="inlineStr"/>
      <c r="B35" s="4" t="inlineStr"/>
    </row>
    <row r="36">
      <c r="A36" s="5" t="inlineStr">
        <is>
          <t>COMO PREENCHER</t>
        </is>
      </c>
    </row>
    <row r="37">
      <c r="A37" s="3" t="inlineStr">
        <is>
          <t>Células amarelas = preencher</t>
        </is>
      </c>
      <c r="B37" s="4" t="inlineStr">
        <is>
          <t>A linha 2 é EXEMPLO — apague antes de usar. Consolidação atualiza por fórmula (linhas 3+).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2" customWidth="1" min="4" max="4"/>
    <col width="22" customWidth="1" min="5" max="5"/>
    <col width="14" customWidth="1" min="6" max="6"/>
    <col width="20" customWidth="1" min="7" max="7"/>
    <col width="16" customWidth="1" min="8" max="8"/>
    <col width="14" customWidth="1" min="9" max="9"/>
    <col width="22" customWidth="1" min="10" max="10"/>
    <col width="22" customWidth="1" min="11" max="11"/>
    <col width="13" customWidth="1" min="12" max="12"/>
    <col width="16" customWidth="1" min="13" max="13"/>
    <col width="16" customWidth="1" min="14" max="14"/>
    <col width="20" customWidth="1" min="15" max="15"/>
    <col width="15" customWidth="1" min="16" max="16"/>
    <col width="16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3" customWidth="1" min="27" max="27"/>
    <col width="52" customWidth="1" min="28" max="28"/>
    <col width="34" customWidth="1" min="29" max="29"/>
    <col width="16" customWidth="1" min="30" max="30"/>
    <col width="44" customWidth="1" min="31" max="31"/>
  </cols>
  <sheetData>
    <row r="1" ht="32" customHeight="1">
      <c r="A1" s="6" t="inlineStr">
        <is>
          <t>ID</t>
        </is>
      </c>
      <c r="B1" s="6" t="inlineStr">
        <is>
          <t>Data</t>
        </is>
      </c>
      <c r="C1" s="6" t="inlineStr">
        <is>
          <t>Entrevistador</t>
        </is>
      </c>
      <c r="D1" s="6" t="inlineStr">
        <is>
          <t>Empresa</t>
        </is>
      </c>
      <c r="E1" s="6" t="inlineStr">
        <is>
          <t>Persona</t>
        </is>
      </c>
      <c r="F1" s="6" t="inlineStr">
        <is>
          <t>Wedge</t>
        </is>
      </c>
      <c r="G1" s="6" t="inlineStr">
        <is>
          <t>Papel do entrevistado</t>
        </is>
      </c>
      <c r="H1" s="6" t="inlineStr">
        <is>
          <t>Problema espontâneo?</t>
        </is>
      </c>
      <c r="I1" s="6" t="inlineStr">
        <is>
          <t>Frequência</t>
        </is>
      </c>
      <c r="J1" s="6" t="inlineStr">
        <is>
          <t>Impacto econômico (R$/%)</t>
        </is>
      </c>
      <c r="K1" s="6" t="inlineStr">
        <is>
          <t>Solução atual</t>
        </is>
      </c>
      <c r="L1" s="6" t="inlineStr">
        <is>
          <t>Insatisfação</t>
        </is>
      </c>
      <c r="M1" s="6" t="inlineStr">
        <is>
          <t>Orçamento existente</t>
        </is>
      </c>
      <c r="N1" s="6" t="inlineStr">
        <is>
          <t>Decisor identificado</t>
        </is>
      </c>
      <c r="O1" s="6" t="inlineStr">
        <is>
          <t>Substituto default</t>
        </is>
      </c>
      <c r="P1" s="6" t="inlineStr">
        <is>
          <t>Interesse (Bloco 6)</t>
        </is>
      </c>
      <c r="Q1" s="6" t="inlineStr">
        <is>
          <t>Próximo passo concreto?</t>
        </is>
      </c>
      <c r="R1" s="6" t="inlineStr">
        <is>
          <t>F1</t>
        </is>
      </c>
      <c r="S1" s="6" t="inlineStr">
        <is>
          <t>F2</t>
        </is>
      </c>
      <c r="T1" s="6" t="inlineStr">
        <is>
          <t>F3</t>
        </is>
      </c>
      <c r="U1" s="6" t="inlineStr">
        <is>
          <t>F4</t>
        </is>
      </c>
      <c r="V1" s="6" t="inlineStr">
        <is>
          <t>F5</t>
        </is>
      </c>
      <c r="W1" s="6" t="inlineStr">
        <is>
          <t>F6</t>
        </is>
      </c>
      <c r="X1" s="6" t="inlineStr">
        <is>
          <t>F7</t>
        </is>
      </c>
      <c r="Y1" s="6" t="inlineStr">
        <is>
          <t>F8</t>
        </is>
      </c>
      <c r="Z1" s="6" t="inlineStr">
        <is>
          <t>Sinal</t>
        </is>
      </c>
      <c r="AA1" s="6" t="inlineStr">
        <is>
          <t>Veredito</t>
        </is>
      </c>
      <c r="AB1" s="6" t="inlineStr">
        <is>
          <t>Evidência / citação (sustenta a nota)</t>
        </is>
      </c>
      <c r="AC1" s="6" t="inlineStr">
        <is>
          <t>Notas / próximos passos</t>
        </is>
      </c>
      <c r="AD1" s="6" t="inlineStr">
        <is>
          <t>Por que não resolveram (A-F)</t>
        </is>
      </c>
      <c r="AE1" s="6" t="inlineStr">
        <is>
          <t>Killer competitiva (resposta literal)</t>
        </is>
      </c>
    </row>
    <row r="2">
      <c r="A2" s="7" t="inlineStr">
        <is>
          <t>EX</t>
        </is>
      </c>
      <c r="B2" s="7" t="inlineStr">
        <is>
          <t>2026-08-20</t>
        </is>
      </c>
      <c r="C2" s="7" t="inlineStr">
        <is>
          <t>Carina</t>
        </is>
      </c>
      <c r="D2" s="7" t="inlineStr">
        <is>
          <t>Operadora Alfa</t>
        </is>
      </c>
      <c r="E2" s="7" t="inlineStr">
        <is>
          <t>Diretor de Saúde Populacional</t>
        </is>
      </c>
      <c r="F2" s="7" t="inlineStr">
        <is>
          <t>Operadora</t>
        </is>
      </c>
      <c r="G2" s="7" t="inlineStr">
        <is>
          <t>Decisor</t>
        </is>
      </c>
      <c r="H2" s="7" t="inlineStr">
        <is>
          <t>Sim</t>
        </is>
      </c>
      <c r="I2" s="7" t="inlineStr">
        <is>
          <t>Mensal</t>
        </is>
      </c>
      <c r="J2" s="7" t="inlineStr">
        <is>
          <t>~R$ 2–3 mi/ano em exames duplicados</t>
        </is>
      </c>
      <c r="K2" s="7" t="inlineStr">
        <is>
          <t>BI de claims + gestão de crônicos (terceiro)</t>
        </is>
      </c>
      <c r="L2" s="7" t="inlineStr">
        <is>
          <t>Alta</t>
        </is>
      </c>
      <c r="M2" s="7" t="inlineStr">
        <is>
          <t>Sim</t>
        </is>
      </c>
      <c r="N2" s="7" t="inlineStr">
        <is>
          <t>Sim</t>
        </is>
      </c>
      <c r="O2" s="7" t="inlineStr">
        <is>
          <t>EHR/HIS</t>
        </is>
      </c>
      <c r="P2" s="7" t="inlineStr">
        <is>
          <t>Médio</t>
        </is>
      </c>
      <c r="Q2" s="7" t="inlineStr">
        <is>
          <t>Sim</t>
        </is>
      </c>
      <c r="R2" s="7" t="inlineStr">
        <is>
          <t>Refut</t>
        </is>
      </c>
      <c r="S2" s="7" t="inlineStr">
        <is>
          <t>—</t>
        </is>
      </c>
      <c r="T2" s="7" t="inlineStr">
        <is>
          <t>Conf</t>
        </is>
      </c>
      <c r="U2" s="7" t="inlineStr">
        <is>
          <t>Refut</t>
        </is>
      </c>
      <c r="V2" s="7" t="inlineStr">
        <is>
          <t>—</t>
        </is>
      </c>
      <c r="W2" s="7" t="inlineStr">
        <is>
          <t>—</t>
        </is>
      </c>
      <c r="X2" s="7" t="inlineStr">
        <is>
          <t>Refut</t>
        </is>
      </c>
      <c r="Y2" s="7" t="inlineStr">
        <is>
          <t>—</t>
        </is>
      </c>
      <c r="Z2" s="7" t="inlineStr">
        <is>
          <t>Muito forte</t>
        </is>
      </c>
      <c r="AA2" s="7" t="inlineStr">
        <is>
          <t>Avança</t>
        </is>
      </c>
      <c r="AB2" s="7" t="inlineStr">
        <is>
          <t>'Existe orçamento de gestão de saúde; me envie um piloto medido numa coorte.'</t>
        </is>
      </c>
      <c r="AC2" s="7" t="inlineStr">
        <is>
          <t>Reunião com CFO médico em 2 semanas</t>
        </is>
      </c>
      <c r="AD2" s="7" t="inlineStr">
        <is>
          <t>C</t>
        </is>
      </c>
      <c r="AE2" s="7" t="inlineStr">
        <is>
          <t>'Se meu HIS fizesse, eu já usaria — mas o dado clínico de fora da rede ele não traz.'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</row>
  </sheetData>
  <dataValidations count="21">
    <dataValidation sqref="E3:E200" showDropDown="0" showInputMessage="0" showErrorMessage="0" allowBlank="1" type="list">
      <formula1>"Diretor de Saúde/VBC,Diretor Experiência do Paciente,RWE/Medical Affairs,Estratégia Digital,Market Access/PSP,TI/HIS,Outro"</formula1>
    </dataValidation>
    <dataValidation sqref="F3:F200" showDropDown="0" showInputMessage="0" showErrorMessage="0" allowBlank="1" type="list">
      <formula1>"Operadora,Hospital,Pharma"</formula1>
    </dataValidation>
    <dataValidation sqref="G3:G200" showDropDown="0" showInputMessage="0" showErrorMessage="0" allowBlank="1" type="list">
      <formula1>"Decisor,Dono do orçamento,Influenciador,Usuário,Fora de perfil"</formula1>
    </dataValidation>
    <dataValidation sqref="H3:H200" showDropDown="0" showInputMessage="0" showErrorMessage="0" allowBlank="1" type="list">
      <formula1>"Sim,Parcial,Não"</formula1>
    </dataValidation>
    <dataValidation sqref="L3:L200" showDropDown="0" showInputMessage="0" showErrorMessage="0" allowBlank="1" type="list">
      <formula1>"Alta,Média,Baixa,N/A"</formula1>
    </dataValidation>
    <dataValidation sqref="M3:M200" showDropDown="0" showInputMessage="0" showErrorMessage="0" allowBlank="1" type="list">
      <formula1>"Sim,Não,Não sabe"</formula1>
    </dataValidation>
    <dataValidation sqref="N3:N200" showDropDown="0" showInputMessage="0" showErrorMessage="0" allowBlank="1" type="list">
      <formula1>"Sim,Não"</formula1>
    </dataValidation>
    <dataValidation sqref="O3:O200" showDropDown="0" showInputMessage="0" showErrorMessage="0" allowBlank="1" type="list">
      <formula1>"EHR/HIS,Build interno,Interop vendor,RNDS/OpenCare,IA,Combinação,Nenhum"</formula1>
    </dataValidation>
    <dataValidation sqref="P3:P200" showDropDown="0" showInputMessage="0" showErrorMessage="0" allowBlank="1" type="list">
      <formula1>"Forte,Médio,Fraco"</formula1>
    </dataValidation>
    <dataValidation sqref="Q3:Q200" showDropDown="0" showInputMessage="0" showErrorMessage="0" allowBlank="1" type="list">
      <formula1>"Sim,Não"</formula1>
    </dataValidation>
    <dataValidation sqref="R3:R200" showDropDown="0" showInputMessage="0" showErrorMessage="0" allowBlank="1" type="list">
      <formula1>"Conf,Refut,—"</formula1>
    </dataValidation>
    <dataValidation sqref="S3:S200" showDropDown="0" showInputMessage="0" showErrorMessage="0" allowBlank="1" type="list">
      <formula1>"Conf,Refut,—"</formula1>
    </dataValidation>
    <dataValidation sqref="T3:T200" showDropDown="0" showInputMessage="0" showErrorMessage="0" allowBlank="1" type="list">
      <formula1>"Conf,Refut,—"</formula1>
    </dataValidation>
    <dataValidation sqref="U3:U200" showDropDown="0" showInputMessage="0" showErrorMessage="0" allowBlank="1" type="list">
      <formula1>"Conf,Refut,—"</formula1>
    </dataValidation>
    <dataValidation sqref="V3:V200" showDropDown="0" showInputMessage="0" showErrorMessage="0" allowBlank="1" type="list">
      <formula1>"Conf,Refut,—"</formula1>
    </dataValidation>
    <dataValidation sqref="W3:W200" showDropDown="0" showInputMessage="0" showErrorMessage="0" allowBlank="1" type="list">
      <formula1>"Conf,Refut,—"</formula1>
    </dataValidation>
    <dataValidation sqref="X3:X200" showDropDown="0" showInputMessage="0" showErrorMessage="0" allowBlank="1" type="list">
      <formula1>"Conf,Refut,—"</formula1>
    </dataValidation>
    <dataValidation sqref="Y3:Y200" showDropDown="0" showInputMessage="0" showErrorMessage="0" allowBlank="1" type="list">
      <formula1>"Conf,Refut,—"</formula1>
    </dataValidation>
    <dataValidation sqref="Z3:Z200" showDropDown="0" showInputMessage="0" showErrorMessage="0" allowBlank="1" type="list">
      <formula1>"Muito forte,Forte,Intermediário,Fraco"</formula1>
    </dataValidation>
    <dataValidation sqref="AA3:AA200" showDropDown="0" showInputMessage="0" showErrorMessage="0" allowBlank="1" type="list">
      <formula1>"Avança,Retém,Rejeita"</formula1>
    </dataValidation>
    <dataValidation sqref="AD3:AD200" showDropDown="0" showInputMessage="0" showErrorMessage="0" allowBlank="1" type="list">
      <formula1>"A,B,C,D,E,F,—"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Consolidação por wedge (fórmulas — linhas 3+ da aba Entrevistas)</t>
        </is>
      </c>
    </row>
    <row r="2">
      <c r="A2" s="2" t="inlineStr">
        <is>
          <t>Protocolo Ciclo 1: após ~6 entrevistas, pausar e consolidar. AVANÇAR se ≥1 MUITO FORTE ou ≥3 (fortes+muito fortes). Qualidade &gt; quantidade.</t>
        </is>
      </c>
    </row>
    <row r="4">
      <c r="A4" s="10" t="inlineStr">
        <is>
          <t>Métrica</t>
        </is>
      </c>
      <c r="B4" s="11" t="inlineStr">
        <is>
          <t>Operadora</t>
        </is>
      </c>
      <c r="C4" s="11" t="inlineStr">
        <is>
          <t>Hospital</t>
        </is>
      </c>
      <c r="D4" s="11" t="inlineStr">
        <is>
          <t>Pharma</t>
        </is>
      </c>
    </row>
    <row r="5">
      <c r="A5" s="12" t="inlineStr">
        <is>
          <t>Entrevistas registradas</t>
        </is>
      </c>
      <c r="B5" s="13">
        <f>COUNTIFS(Entrevistas!$F$3:$F$200,"Operadora")</f>
        <v/>
      </c>
      <c r="C5" s="13">
        <f>COUNTIFS(Entrevistas!$F$3:$F$200,"Hospital")</f>
        <v/>
      </c>
      <c r="D5" s="13">
        <f>COUNTIFS(Entrevistas!$F$3:$F$200,"Pharma")</f>
        <v/>
      </c>
    </row>
    <row r="6">
      <c r="A6" s="12" t="inlineStr">
        <is>
          <t>Problema espontâneo (Sim)</t>
        </is>
      </c>
      <c r="B6" s="13">
        <f>COUNTIFS(Entrevistas!$F$3:$F$200,"Operadora",Entrevistas!$H$3:$H$200,"Sim")</f>
        <v/>
      </c>
      <c r="C6" s="13">
        <f>COUNTIFS(Entrevistas!$F$3:$F$200,"Hospital",Entrevistas!$H$3:$H$200,"Sim")</f>
        <v/>
      </c>
      <c r="D6" s="13">
        <f>COUNTIFS(Entrevistas!$F$3:$F$200,"Pharma",Entrevistas!$H$3:$H$200,"Sim")</f>
        <v/>
      </c>
    </row>
    <row r="7">
      <c r="A7" s="3" t="inlineStr">
        <is>
          <t>Sinais MUITO FORTES</t>
        </is>
      </c>
      <c r="B7" s="14">
        <f>COUNTIFS(Entrevistas!$F$3:$F$200,"Operadora",Entrevistas!$Z$3:$Z$200,"Muito forte")</f>
        <v/>
      </c>
      <c r="C7" s="14">
        <f>COUNTIFS(Entrevistas!$F$3:$F$200,"Hospital",Entrevistas!$Z$3:$Z$200,"Muito forte")</f>
        <v/>
      </c>
      <c r="D7" s="14">
        <f>COUNTIFS(Entrevistas!$F$3:$F$200,"Pharma",Entrevistas!$Z$3:$Z$200,"Muito forte")</f>
        <v/>
      </c>
    </row>
    <row r="8">
      <c r="A8" s="3" t="inlineStr">
        <is>
          <t>Sinais FORTES</t>
        </is>
      </c>
      <c r="B8" s="14">
        <f>COUNTIFS(Entrevistas!$F$3:$F$200,"Operadora",Entrevistas!$Z$3:$Z$200,"Forte")</f>
        <v/>
      </c>
      <c r="C8" s="14">
        <f>COUNTIFS(Entrevistas!$F$3:$F$200,"Hospital",Entrevistas!$Z$3:$Z$200,"Forte")</f>
        <v/>
      </c>
      <c r="D8" s="14">
        <f>COUNTIFS(Entrevistas!$F$3:$F$200,"Pharma",Entrevistas!$Z$3:$Z$200,"Forte")</f>
        <v/>
      </c>
    </row>
    <row r="9">
      <c r="A9" s="12" t="inlineStr">
        <is>
          <t>Sinais Intermediários</t>
        </is>
      </c>
      <c r="B9" s="13">
        <f>COUNTIFS(Entrevistas!$F$3:$F$200,"Operadora",Entrevistas!$Z$3:$Z$200,"Intermediário")</f>
        <v/>
      </c>
      <c r="C9" s="13">
        <f>COUNTIFS(Entrevistas!$F$3:$F$200,"Hospital",Entrevistas!$Z$3:$Z$200,"Intermediário")</f>
        <v/>
      </c>
      <c r="D9" s="13">
        <f>COUNTIFS(Entrevistas!$F$3:$F$200,"Pharma",Entrevistas!$Z$3:$Z$200,"Intermediário")</f>
        <v/>
      </c>
    </row>
    <row r="10">
      <c r="A10" s="12" t="inlineStr">
        <is>
          <t>Com orçamento (Sim)</t>
        </is>
      </c>
      <c r="B10" s="13">
        <f>COUNTIFS(Entrevistas!$F$3:$F$200,"Operadora",Entrevistas!$M$3:$M$200,"Sim")</f>
        <v/>
      </c>
      <c r="C10" s="13">
        <f>COUNTIFS(Entrevistas!$F$3:$F$200,"Hospital",Entrevistas!$M$3:$M$200,"Sim")</f>
        <v/>
      </c>
      <c r="D10" s="13">
        <f>COUNTIFS(Entrevistas!$F$3:$F$200,"Pharma",Entrevistas!$M$3:$M$200,"Sim")</f>
        <v/>
      </c>
    </row>
    <row r="11">
      <c r="A11" s="12" t="inlineStr">
        <is>
          <t>Com decisor identificado</t>
        </is>
      </c>
      <c r="B11" s="13">
        <f>COUNTIFS(Entrevistas!$F$3:$F$200,"Operadora",Entrevistas!$N$3:$N$200,"Sim")</f>
        <v/>
      </c>
      <c r="C11" s="13">
        <f>COUNTIFS(Entrevistas!$F$3:$F$200,"Hospital",Entrevistas!$N$3:$N$200,"Sim")</f>
        <v/>
      </c>
      <c r="D11" s="13">
        <f>COUNTIFS(Entrevistas!$F$3:$F$200,"Pharma",Entrevistas!$N$3:$N$200,"Sim")</f>
        <v/>
      </c>
    </row>
    <row r="12">
      <c r="A12" s="12" t="inlineStr">
        <is>
          <t>Com próximo passo concreto</t>
        </is>
      </c>
      <c r="B12" s="13">
        <f>COUNTIFS(Entrevistas!$F$3:$F$200,"Operadora",Entrevistas!$Q$3:$Q$200,"Sim")</f>
        <v/>
      </c>
      <c r="C12" s="13">
        <f>COUNTIFS(Entrevistas!$F$3:$F$200,"Hospital",Entrevistas!$Q$3:$Q$200,"Sim")</f>
        <v/>
      </c>
      <c r="D12" s="13">
        <f>COUNTIFS(Entrevistas!$F$3:$F$200,"Pharma",Entrevistas!$Q$3:$Q$200,"Sim")</f>
        <v/>
      </c>
    </row>
    <row r="13">
      <c r="A13" s="12" t="inlineStr">
        <is>
          <t>Veredito Avança</t>
        </is>
      </c>
      <c r="B13" s="13">
        <f>COUNTIFS(Entrevistas!$F$3:$F$200,"Operadora",Entrevistas!$AA$3:$AA$200,"Avança")</f>
        <v/>
      </c>
      <c r="C13" s="13">
        <f>COUNTIFS(Entrevistas!$F$3:$F$200,"Hospital",Entrevistas!$AA$3:$AA$200,"Avança")</f>
        <v/>
      </c>
      <c r="D13" s="13">
        <f>COUNTIFS(Entrevistas!$F$3:$F$200,"Pharma",Entrevistas!$AA$3:$AA$200,"Avança")</f>
        <v/>
      </c>
    </row>
    <row r="14">
      <c r="A14" s="12" t="inlineStr">
        <is>
          <t>Veredito Retém</t>
        </is>
      </c>
      <c r="B14" s="13">
        <f>COUNTIFS(Entrevistas!$F$3:$F$200,"Operadora",Entrevistas!$AA$3:$AA$200,"Retém")</f>
        <v/>
      </c>
      <c r="C14" s="13">
        <f>COUNTIFS(Entrevistas!$F$3:$F$200,"Hospital",Entrevistas!$AA$3:$AA$200,"Retém")</f>
        <v/>
      </c>
      <c r="D14" s="13">
        <f>COUNTIFS(Entrevistas!$F$3:$F$200,"Pharma",Entrevistas!$AA$3:$AA$200,"Retém")</f>
        <v/>
      </c>
    </row>
    <row r="15">
      <c r="A15" s="12" t="inlineStr">
        <is>
          <t>Veredito Rejeita</t>
        </is>
      </c>
      <c r="B15" s="13">
        <f>COUNTIFS(Entrevistas!$F$3:$F$200,"Operadora",Entrevistas!$AA$3:$AA$200,"Rejeita")</f>
        <v/>
      </c>
      <c r="C15" s="13">
        <f>COUNTIFS(Entrevistas!$F$3:$F$200,"Hospital",Entrevistas!$AA$3:$AA$200,"Rejeita")</f>
        <v/>
      </c>
      <c r="D15" s="13">
        <f>COUNTIFS(Entrevistas!$F$3:$F$200,"Pharma",Entrevistas!$AA$3:$AA$200,"Rejeita")</f>
        <v/>
      </c>
    </row>
    <row r="17">
      <c r="A17" s="5" t="inlineStr">
        <is>
          <t>Razões de rejeição confirmadas (F1–F8)</t>
        </is>
      </c>
    </row>
    <row r="18">
      <c r="A18" s="10" t="inlineStr">
        <is>
          <t>Fx</t>
        </is>
      </c>
      <c r="B18" s="11" t="inlineStr">
        <is>
          <t>Operadora</t>
        </is>
      </c>
      <c r="C18" s="11" t="inlineStr">
        <is>
          <t>Hospital</t>
        </is>
      </c>
      <c r="D18" s="11" t="inlineStr">
        <is>
          <t>Pharma</t>
        </is>
      </c>
    </row>
    <row r="19">
      <c r="A19" s="12" t="inlineStr">
        <is>
          <t>F1</t>
        </is>
      </c>
      <c r="B19" s="13">
        <f>COUNTIFS(Entrevistas!$F$3:$F$200,"Operadora",Entrevistas!$R$3:$R$200,"Conf")</f>
        <v/>
      </c>
      <c r="C19" s="13">
        <f>COUNTIFS(Entrevistas!$F$3:$F$200,"Hospital",Entrevistas!$R$3:$R$200,"Conf")</f>
        <v/>
      </c>
      <c r="D19" s="13">
        <f>COUNTIFS(Entrevistas!$F$3:$F$200,"Pharma",Entrevistas!$R$3:$R$200,"Conf")</f>
        <v/>
      </c>
    </row>
    <row r="20">
      <c r="A20" s="12" t="inlineStr">
        <is>
          <t>F2</t>
        </is>
      </c>
      <c r="B20" s="13">
        <f>COUNTIFS(Entrevistas!$F$3:$F$200,"Operadora",Entrevistas!$S$3:$S$200,"Conf")</f>
        <v/>
      </c>
      <c r="C20" s="13">
        <f>COUNTIFS(Entrevistas!$F$3:$F$200,"Hospital",Entrevistas!$S$3:$S$200,"Conf")</f>
        <v/>
      </c>
      <c r="D20" s="13">
        <f>COUNTIFS(Entrevistas!$F$3:$F$200,"Pharma",Entrevistas!$S$3:$S$200,"Conf")</f>
        <v/>
      </c>
    </row>
    <row r="21">
      <c r="A21" s="12" t="inlineStr">
        <is>
          <t>F3</t>
        </is>
      </c>
      <c r="B21" s="13">
        <f>COUNTIFS(Entrevistas!$F$3:$F$200,"Operadora",Entrevistas!$T$3:$T$200,"Conf")</f>
        <v/>
      </c>
      <c r="C21" s="13">
        <f>COUNTIFS(Entrevistas!$F$3:$F$200,"Hospital",Entrevistas!$T$3:$T$200,"Conf")</f>
        <v/>
      </c>
      <c r="D21" s="13">
        <f>COUNTIFS(Entrevistas!$F$3:$F$200,"Pharma",Entrevistas!$T$3:$T$200,"Conf")</f>
        <v/>
      </c>
    </row>
    <row r="22">
      <c r="A22" s="12" t="inlineStr">
        <is>
          <t>F4</t>
        </is>
      </c>
      <c r="B22" s="13">
        <f>COUNTIFS(Entrevistas!$F$3:$F$200,"Operadora",Entrevistas!$U$3:$U$200,"Conf")</f>
        <v/>
      </c>
      <c r="C22" s="13">
        <f>COUNTIFS(Entrevistas!$F$3:$F$200,"Hospital",Entrevistas!$U$3:$U$200,"Conf")</f>
        <v/>
      </c>
      <c r="D22" s="13">
        <f>COUNTIFS(Entrevistas!$F$3:$F$200,"Pharma",Entrevistas!$U$3:$U$200,"Conf")</f>
        <v/>
      </c>
    </row>
    <row r="23">
      <c r="A23" s="12" t="inlineStr">
        <is>
          <t>F5</t>
        </is>
      </c>
      <c r="B23" s="13">
        <f>COUNTIFS(Entrevistas!$F$3:$F$200,"Operadora",Entrevistas!$V$3:$V$200,"Conf")</f>
        <v/>
      </c>
      <c r="C23" s="13">
        <f>COUNTIFS(Entrevistas!$F$3:$F$200,"Hospital",Entrevistas!$V$3:$V$200,"Conf")</f>
        <v/>
      </c>
      <c r="D23" s="13">
        <f>COUNTIFS(Entrevistas!$F$3:$F$200,"Pharma",Entrevistas!$V$3:$V$200,"Conf")</f>
        <v/>
      </c>
    </row>
    <row r="24">
      <c r="A24" s="12" t="inlineStr">
        <is>
          <t>F6</t>
        </is>
      </c>
      <c r="B24" s="13">
        <f>COUNTIFS(Entrevistas!$F$3:$F$200,"Operadora",Entrevistas!$W$3:$W$200,"Conf")</f>
        <v/>
      </c>
      <c r="C24" s="13">
        <f>COUNTIFS(Entrevistas!$F$3:$F$200,"Hospital",Entrevistas!$W$3:$W$200,"Conf")</f>
        <v/>
      </c>
      <c r="D24" s="13">
        <f>COUNTIFS(Entrevistas!$F$3:$F$200,"Pharma",Entrevistas!$W$3:$W$200,"Conf")</f>
        <v/>
      </c>
    </row>
    <row r="25">
      <c r="A25" s="12" t="inlineStr">
        <is>
          <t>F7</t>
        </is>
      </c>
      <c r="B25" s="13">
        <f>COUNTIFS(Entrevistas!$F$3:$F$200,"Operadora",Entrevistas!$X$3:$X$200,"Conf")</f>
        <v/>
      </c>
      <c r="C25" s="13">
        <f>COUNTIFS(Entrevistas!$F$3:$F$200,"Hospital",Entrevistas!$X$3:$X$200,"Conf")</f>
        <v/>
      </c>
      <c r="D25" s="13">
        <f>COUNTIFS(Entrevistas!$F$3:$F$200,"Pharma",Entrevistas!$X$3:$X$200,"Conf")</f>
        <v/>
      </c>
    </row>
    <row r="26">
      <c r="A26" s="12" t="inlineStr">
        <is>
          <t>F8</t>
        </is>
      </c>
      <c r="B26" s="13">
        <f>COUNTIFS(Entrevistas!$F$3:$F$200,"Operadora",Entrevistas!$Y$3:$Y$200,"Conf")</f>
        <v/>
      </c>
      <c r="C26" s="13">
        <f>COUNTIFS(Entrevistas!$F$3:$F$200,"Hospital",Entrevistas!$Y$3:$Y$200,"Conf")</f>
        <v/>
      </c>
      <c r="D26" s="13">
        <f>COUNTIFS(Entrevistas!$F$3:$F$200,"Pharma",Entrevistas!$Y$3:$Y$200,"Conf")</f>
        <v/>
      </c>
    </row>
    <row r="28">
      <c r="A28" s="5" t="inlineStr">
        <is>
          <t>Diagnóstico 'não-resolvido' (A–F)</t>
        </is>
      </c>
    </row>
    <row r="29">
      <c r="A29" s="10" t="inlineStr">
        <is>
          <t>Cód.</t>
        </is>
      </c>
      <c r="B29" s="11" t="inlineStr">
        <is>
          <t>Operadora</t>
        </is>
      </c>
      <c r="C29" s="11" t="inlineStr">
        <is>
          <t>Hospital</t>
        </is>
      </c>
      <c r="D29" s="11" t="inlineStr">
        <is>
          <t>Pharma</t>
        </is>
      </c>
    </row>
    <row r="30">
      <c r="A30" s="12" t="inlineStr">
        <is>
          <t>A</t>
        </is>
      </c>
      <c r="B30" s="13">
        <f>COUNTIFS(Entrevistas!$F$3:$F$200,"Operadora",Entrevistas!$AD$3:$AD$200,"A")</f>
        <v/>
      </c>
      <c r="C30" s="13">
        <f>COUNTIFS(Entrevistas!$F$3:$F$200,"Hospital",Entrevistas!$AD$3:$AD$200,"A")</f>
        <v/>
      </c>
      <c r="D30" s="13">
        <f>COUNTIFS(Entrevistas!$F$3:$F$200,"Pharma",Entrevistas!$AD$3:$AD$200,"A")</f>
        <v/>
      </c>
    </row>
    <row r="31">
      <c r="A31" s="12" t="inlineStr">
        <is>
          <t>B</t>
        </is>
      </c>
      <c r="B31" s="13">
        <f>COUNTIFS(Entrevistas!$F$3:$F$200,"Operadora",Entrevistas!$AD$3:$AD$200,"B")</f>
        <v/>
      </c>
      <c r="C31" s="13">
        <f>COUNTIFS(Entrevistas!$F$3:$F$200,"Hospital",Entrevistas!$AD$3:$AD$200,"B")</f>
        <v/>
      </c>
      <c r="D31" s="13">
        <f>COUNTIFS(Entrevistas!$F$3:$F$200,"Pharma",Entrevistas!$AD$3:$AD$200,"B")</f>
        <v/>
      </c>
    </row>
    <row r="32">
      <c r="A32" s="12" t="inlineStr">
        <is>
          <t>C</t>
        </is>
      </c>
      <c r="B32" s="13">
        <f>COUNTIFS(Entrevistas!$F$3:$F$200,"Operadora",Entrevistas!$AD$3:$AD$200,"C")</f>
        <v/>
      </c>
      <c r="C32" s="13">
        <f>COUNTIFS(Entrevistas!$F$3:$F$200,"Hospital",Entrevistas!$AD$3:$AD$200,"C")</f>
        <v/>
      </c>
      <c r="D32" s="13">
        <f>COUNTIFS(Entrevistas!$F$3:$F$200,"Pharma",Entrevistas!$AD$3:$AD$200,"C")</f>
        <v/>
      </c>
    </row>
    <row r="33">
      <c r="A33" s="12" t="inlineStr">
        <is>
          <t>D</t>
        </is>
      </c>
      <c r="B33" s="13">
        <f>COUNTIFS(Entrevistas!$F$3:$F$200,"Operadora",Entrevistas!$AD$3:$AD$200,"D")</f>
        <v/>
      </c>
      <c r="C33" s="13">
        <f>COUNTIFS(Entrevistas!$F$3:$F$200,"Hospital",Entrevistas!$AD$3:$AD$200,"D")</f>
        <v/>
      </c>
      <c r="D33" s="13">
        <f>COUNTIFS(Entrevistas!$F$3:$F$200,"Pharma",Entrevistas!$AD$3:$AD$200,"D")</f>
        <v/>
      </c>
    </row>
    <row r="34">
      <c r="A34" s="12" t="inlineStr">
        <is>
          <t>E</t>
        </is>
      </c>
      <c r="B34" s="13">
        <f>COUNTIFS(Entrevistas!$F$3:$F$200,"Operadora",Entrevistas!$AD$3:$AD$200,"E")</f>
        <v/>
      </c>
      <c r="C34" s="13">
        <f>COUNTIFS(Entrevistas!$F$3:$F$200,"Hospital",Entrevistas!$AD$3:$AD$200,"E")</f>
        <v/>
      </c>
      <c r="D34" s="13">
        <f>COUNTIFS(Entrevistas!$F$3:$F$200,"Pharma",Entrevistas!$AD$3:$AD$200,"E")</f>
        <v/>
      </c>
    </row>
    <row r="35">
      <c r="A35" s="12" t="inlineStr">
        <is>
          <t>F</t>
        </is>
      </c>
      <c r="B35" s="13">
        <f>COUNTIFS(Entrevistas!$F$3:$F$200,"Operadora",Entrevistas!$AD$3:$AD$200,"F")</f>
        <v/>
      </c>
      <c r="C35" s="13">
        <f>COUNTIFS(Entrevistas!$F$3:$F$200,"Hospital",Entrevistas!$AD$3:$AD$200,"F")</f>
        <v/>
      </c>
      <c r="D35" s="13">
        <f>COUNTIFS(Entrevistas!$F$3:$F$200,"Pharma",Entrevistas!$AD$3:$AD$200,"F")</f>
        <v/>
      </c>
    </row>
    <row r="37">
      <c r="A37" s="5" t="inlineStr">
        <is>
          <t>Sugestão (fórmula — não decisão)</t>
        </is>
      </c>
    </row>
    <row r="38">
      <c r="A38" s="10" t="inlineStr">
        <is>
          <t>Cenário</t>
        </is>
      </c>
      <c r="B38" s="11" t="inlineStr">
        <is>
          <t>Operadora</t>
        </is>
      </c>
      <c r="C38" s="11" t="inlineStr">
        <is>
          <t>Hospital</t>
        </is>
      </c>
      <c r="D38" s="11" t="inlineStr">
        <is>
          <t>Pharma</t>
        </is>
      </c>
    </row>
    <row r="39">
      <c r="A39" s="3" t="inlineStr">
        <is>
          <t>Sugestão A/B/C</t>
        </is>
      </c>
      <c r="B39" s="15">
        <f>IF(OR(B7&gt;=1,(B8+B7)&gt;=3),"AVANÇAR (A)",IF((B8+B7)&gt;=1,"ITERAR (B)","ABANDONAR/insuf. (C)"))</f>
        <v/>
      </c>
      <c r="C39" s="15">
        <f>IF(OR(C7&gt;=1,(C8+C7)&gt;=3),"AVANÇAR (A)",IF((C8+C7)&gt;=1,"ITERAR (B)","ABANDONAR/insuf. (C)"))</f>
        <v/>
      </c>
      <c r="D39" s="15">
        <f>IF(OR(D7&gt;=1,(D8+D7)&gt;=3),"AVANÇAR (A)",IF((D8+D7)&gt;=1,"ITERAR (B)","ABANDONAR/insuf. (C)"))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2026-08-14T18:13:54Z</dcterms:created>
  <dcterms:modified xmlns:dcterms="http://purl.org/dc/terms/" xmlns:xsi="http://www.w3.org/2001/XMLSchema-instance" xsi:type="dcterms:W3CDTF">2026-08-14T18:13:54Z</dcterms:modified>
</cp:coreProperties>
</file>